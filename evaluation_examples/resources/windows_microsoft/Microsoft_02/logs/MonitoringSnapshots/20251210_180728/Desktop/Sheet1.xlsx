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1A89C65F-00BC-4BE4-AB45-C35A3A4358C4}" xr6:coauthVersionLast="47" xr6:coauthVersionMax="47" xr10:uidLastSave="{00000000-0000-0000-0000-000000000000}"/>
  <bookViews>
    <workbookView xWindow="-108" yWindow="-108" windowWidth="23256" windowHeight="11640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D4" i="1"/>
  <c r="D5" i="1"/>
  <c r="D7" i="1"/>
  <c r="D8" i="1"/>
  <c r="D10" i="1"/>
  <c r="D11" i="1"/>
  <c r="D2" i="1"/>
  <c r="D6" i="1"/>
  <c r="D9" i="1"/>
  <c r="D3" i="1"/>
</calcChain>
</file>

<file path=xl/sharedStrings.xml><?xml version="1.0" encoding="utf-8"?>
<sst xmlns="http://schemas.openxmlformats.org/spreadsheetml/2006/main" count="15" uniqueCount="15">
  <si>
    <t>Student Name</t>
  </si>
  <si>
    <t>Midterm Chinese Score</t>
  </si>
  <si>
    <t>Final Chinese Score</t>
  </si>
  <si>
    <t>Zhao Zihan</t>
  </si>
  <si>
    <t xml:space="preserve"> Wu Ruoxi</t>
  </si>
  <si>
    <t>Chen Haoran</t>
  </si>
  <si>
    <t>Gao Siyuan</t>
  </si>
  <si>
    <t>Zheng Yaning</t>
  </si>
  <si>
    <t>Lin Yutong</t>
  </si>
  <si>
    <t>Sun Jiayue</t>
  </si>
  <si>
    <t>Zhou Zixuan</t>
  </si>
  <si>
    <t>Li Chenyang</t>
  </si>
  <si>
    <t>Wang Shiya</t>
  </si>
  <si>
    <t>Score Growth Rate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</si>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</sst>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  <a:r>
              <a:rPr lang="en-US" baseline="0"/>
              <a:t> 201 Two Chinese Test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Midterm Chinese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Sheet1!$A$2:$A$11</c:f>
              <c:strCache>
                <c:ptCount val="10"/>
                <c:pt idx="0">
                  <c:v>Zhou Zixuan</c:v>
                </c:pt>
                <c:pt idx="1">
                  <c:v>Zhao Zihan</c:v>
                </c:pt>
                <c:pt idx="2">
                  <c:v> Wu Ruoxi</c:v>
                </c:pt>
                <c:pt idx="3">
                  <c:v>Chen Haoran</c:v>
                </c:pt>
                <c:pt idx="4">
                  <c:v>Li Chenyang</c:v>
                </c:pt>
                <c:pt idx="5">
                  <c:v>Gao Siyuan</c:v>
                </c:pt>
                <c:pt idx="6">
                  <c:v>Zheng Yaning</c:v>
                </c:pt>
                <c:pt idx="7">
                  <c:v>Wang Shiya</c:v>
                </c:pt>
                <c:pt idx="8">
                  <c:v>Lin Yutong</c:v>
                </c:pt>
                <c:pt idx="9">
                  <c:v>Sun Jiayue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73</c:v>
                </c:pt>
                <c:pt idx="1">
                  <c:v>81</c:v>
                </c:pt>
                <c:pt idx="2">
                  <c:v>90</c:v>
                </c:pt>
                <c:pt idx="3">
                  <c:v>78</c:v>
                </c:pt>
                <c:pt idx="4">
                  <c:v>86</c:v>
                </c:pt>
                <c:pt idx="5">
                  <c:v>84</c:v>
                </c:pt>
                <c:pt idx="6">
                  <c:v>89</c:v>
                </c:pt>
                <c:pt idx="7">
                  <c:v>92</c:v>
                </c:pt>
                <c:pt idx="8">
                  <c:v>88</c:v>
                </c:pt>
                <c:pt idx="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C-42AA-9F72-B415C8891F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Final Chinese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Sheet1!$A$2:$A$11</c:f>
              <c:strCache>
                <c:ptCount val="10"/>
                <c:pt idx="0">
                  <c:v>Zhou Zixuan</c:v>
                </c:pt>
                <c:pt idx="1">
                  <c:v>Zhao Zihan</c:v>
                </c:pt>
                <c:pt idx="2">
                  <c:v> Wu Ruoxi</c:v>
                </c:pt>
                <c:pt idx="3">
                  <c:v>Chen Haoran</c:v>
                </c:pt>
                <c:pt idx="4">
                  <c:v>Li Chenyang</c:v>
                </c:pt>
                <c:pt idx="5">
                  <c:v>Gao Siyuan</c:v>
                </c:pt>
                <c:pt idx="6">
                  <c:v>Zheng Yaning</c:v>
                </c:pt>
                <c:pt idx="7">
                  <c:v>Wang Shiya</c:v>
                </c:pt>
                <c:pt idx="8">
                  <c:v>Lin Yutong</c:v>
                </c:pt>
                <c:pt idx="9">
                  <c:v>Sun Jiayue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79</c:v>
                </c:pt>
                <c:pt idx="1">
                  <c:v>87</c:v>
                </c:pt>
                <c:pt idx="2">
                  <c:v>96</c:v>
                </c:pt>
                <c:pt idx="3">
                  <c:v>83</c:v>
                </c:pt>
                <c:pt idx="4">
                  <c:v>91</c:v>
                </c:pt>
                <c:pt idx="5">
                  <c:v>88</c:v>
                </c:pt>
                <c:pt idx="6">
                  <c:v>93</c:v>
                </c:pt>
                <c:pt idx="7">
                  <c:v>95</c:v>
                </c:pt>
                <c:pt idx="8">
                  <c:v>90</c:v>
                </c:pt>
                <c:pt idx="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C-42AA-9F72-B415C8891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115056"/>
        <c:axId val="1691115536"/>
      </c:lineChart>
      <c:catAx>
        <c:axId val="169111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15536"/>
        <c:crosses val="autoZero"/>
        <c:auto val="1"/>
        <c:lblAlgn val="ctr"/>
        <c:lblOffset val="100"/>
        <c:noMultiLvlLbl val="0"/>
      </c:catAx>
      <c:valAx>
        <c:axId val="16911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1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33F221-CBEE-4B9B-82D8-1C2FB00A75EC}">
  <sheetPr/>
  <sheetViews>
    <sheetView tabSelected="1"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027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981DF-486D-5D6D-6CA4-E67890BEFD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C11"/>
    </sheetView>
  </sheetViews>
  <sheetFormatPr defaultColWidth="9" defaultRowHeight="14.4"/>
  <cols>
    <col min="1" max="1" width="18.5546875" customWidth="1"/>
    <col min="2" max="2" width="24.21875" customWidth="1"/>
    <col min="3" max="3" width="22" customWidth="1"/>
    <col min="4" max="4" width="18.21875" customWidth="1"/>
  </cols>
  <sheetData>
    <row r="1" spans="1:4">
      <c r="A1" s="3" t="s">
        <v>0</v>
      </c>
      <c r="B1" s="3" t="s">
        <v>1</v>
      </c>
      <c r="C1" s="3" t="s">
        <v>2</v>
      </c>
      <c r="D1" s="1" t="s">
        <v>13</v>
      </c>
    </row>
    <row r="2" spans="1:4">
      <c r="A2" s="5" t="s">
        <v>10</v>
      </c>
      <c r="B2" s="4">
        <v>73</v>
      </c>
      <c r="C2" s="4">
        <v>79</v>
      </c>
      <c r="D2" s="2">
        <f>(C2-B2)/B2</f>
        <v>8.2191780821917804E-2</v>
      </c>
    </row>
    <row r="3" spans="1:4">
      <c r="A3" s="5" t="s">
        <v>3</v>
      </c>
      <c r="B3" s="4">
        <v>81</v>
      </c>
      <c r="C3" s="4">
        <v>87</v>
      </c>
      <c r="D3" s="2">
        <f>(C3-B3)/B3</f>
        <v>7.407407407407407E-2</v>
      </c>
    </row>
    <row r="4" spans="1:4">
      <c r="A4" s="5" t="s">
        <v>4</v>
      </c>
      <c r="B4" s="4">
        <v>90</v>
      </c>
      <c r="C4" s="4">
        <v>96</v>
      </c>
      <c r="D4" s="2">
        <f>(C4-B4)/B4</f>
        <v>6.6666666666666666E-2</v>
      </c>
    </row>
    <row r="5" spans="1:4">
      <c r="A5" s="3" t="s">
        <v>5</v>
      </c>
      <c r="B5" s="4">
        <v>78</v>
      </c>
      <c r="C5" s="4">
        <v>83</v>
      </c>
      <c r="D5" s="2">
        <f>(C5-B5)/B5</f>
        <v>6.4102564102564097E-2</v>
      </c>
    </row>
    <row r="6" spans="1:4">
      <c r="A6" s="3" t="s">
        <v>11</v>
      </c>
      <c r="B6" s="4">
        <v>86</v>
      </c>
      <c r="C6" s="4">
        <v>91</v>
      </c>
      <c r="D6" s="2">
        <f>(C6-B6)/B6</f>
        <v>5.8139534883720929E-2</v>
      </c>
    </row>
    <row r="7" spans="1:4">
      <c r="A7" s="3" t="s">
        <v>6</v>
      </c>
      <c r="B7" s="4">
        <v>84</v>
      </c>
      <c r="C7" s="4">
        <v>88</v>
      </c>
      <c r="D7" s="2">
        <f>(C7-B7)/B7</f>
        <v>4.7619047619047616E-2</v>
      </c>
    </row>
    <row r="8" spans="1:4">
      <c r="A8" s="3" t="s">
        <v>7</v>
      </c>
      <c r="B8" s="4">
        <v>89</v>
      </c>
      <c r="C8" s="4">
        <v>93</v>
      </c>
      <c r="D8" s="2">
        <f>(C8-B8)/B8</f>
        <v>4.49438202247191E-2</v>
      </c>
    </row>
    <row r="9" spans="1:4">
      <c r="A9" s="3" t="s">
        <v>12</v>
      </c>
      <c r="B9" s="4">
        <v>92</v>
      </c>
      <c r="C9" s="4">
        <v>95</v>
      </c>
      <c r="D9" s="2">
        <f>(C9-B9)/B9</f>
        <v>3.2608695652173912E-2</v>
      </c>
    </row>
    <row r="10" spans="1:4">
      <c r="A10" s="3" t="s">
        <v>8</v>
      </c>
      <c r="B10" s="4">
        <v>88</v>
      </c>
      <c r="C10" s="4">
        <v>90</v>
      </c>
      <c r="D10" s="2">
        <f>(C10-B10)/B10</f>
        <v>2.2727272727272728E-2</v>
      </c>
    </row>
    <row r="11" spans="1:4">
      <c r="A11" s="3" t="s">
        <v>9</v>
      </c>
      <c r="B11" s="4">
        <v>95</v>
      </c>
      <c r="C11" s="4">
        <v>97</v>
      </c>
      <c r="D11" s="2">
        <f>(C11-B11)/B11</f>
        <v>2.1052631578947368E-2</v>
      </c>
    </row>
    <row r="12" spans="1:4">
      <c r="A12" s="3" t="s">
        <v>14</v>
      </c>
      <c r="B12" s="3">
        <f>AVERAGE(B2:B11)</f>
        <v>85.6</v>
      </c>
      <c r="C12" s="3">
        <f>AVERAGE(C2:C11)</f>
        <v>89.9</v>
      </c>
      <c r="D12" s="3"/>
    </row>
  </sheetData>
  <sortState xmlns:xlrd2="http://schemas.microsoft.com/office/spreadsheetml/2017/richdata2" ref="A2:D11">
    <sortCondition descending="1" ref="D2:D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Geo Wong</cp:lastModifiedBy>
  <dcterms:created xsi:type="dcterms:W3CDTF">2023-05-12T11:15:00Z</dcterms:created>
  <dcterms:modified xsi:type="dcterms:W3CDTF">2025-12-10T10:07:26Z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C2E5F4A1F2144061A795F5140C8F8058_12</vt:lpwstr>
  </property>
  <property fmtid="{D5CDD505-2E9C-101B-9397-08002B2CF9AE}" pid="4" name="CalculationRule">
    <vt:i4>0</vt:i4>
  </property>
</Properties>
</file>