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F58CEA6F-445F-4566-A6AA-A0EC07F013C4}" xr6:coauthVersionLast="47" xr6:coauthVersionMax="47" xr10:uidLastSave="{00000000-0000-0000-0000-000000000000}"/>
  <bookViews>
    <workbookView xWindow="-120" yWindow="-120" windowWidth="38640" windowHeight="20190" xr2:uid="{3765F7E8-AE92-48F1-ACB3-AA067BE9C2FD}"/>
  </bookViews>
  <sheets>
    <sheet name="Employee Salary Statistics Tab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3" i="1"/>
  <c r="M10" i="1" l="1"/>
  <c r="L4" i="1"/>
  <c r="F25" i="1"/>
  <c r="L5" i="1"/>
  <c r="L3" i="1"/>
</calcChain>
</file>

<file path=xl/sharedStrings.xml><?xml version="1.0" encoding="utf-8"?>
<sst xmlns="http://schemas.openxmlformats.org/spreadsheetml/2006/main" count="90" uniqueCount="43">
  <si>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</si>
  <si>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</si>
  <si>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</si>
  <si>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</si>
  <si>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</si>
  <si>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</si>
  <si>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</si>
  <si>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</si>
  <si>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</si>
  <si>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</si>
  <si>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</si>
  <si>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</si>
  <si>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</si>
  <si>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</si>
  <si>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</si>
  <si>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</si>
  <si>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</si>
  <si>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</si>
  <si>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</si>
  <si>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</si>
  <si>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HR021</t>
  </si>
  <si>
    <t>HR022</t>
  </si>
  <si>
    <t>Employee ID</t>
  </si>
  <si>
    <t>Title</t>
  </si>
  <si>
    <t>Education</t>
  </si>
  <si>
    <t>Basic Salary</t>
  </si>
  <si>
    <t>Position Salary</t>
  </si>
  <si>
    <t>Total Salary</t>
  </si>
  <si>
    <t>Senior Engineer</t>
  </si>
  <si>
    <t>Master</t>
  </si>
  <si>
    <t>Engineer</t>
  </si>
  <si>
    <t>Bachelor</t>
  </si>
  <si>
    <t>Assistant Engineer</t>
  </si>
  <si>
    <t>PhD</t>
  </si>
  <si>
    <t>Average Salary</t>
  </si>
  <si>
    <t>Count</t>
  </si>
  <si>
    <t>&gt;=9000</t>
  </si>
  <si>
    <t>&gt;=12000</t>
  </si>
  <si>
    <t>&gt;=15000</t>
  </si>
  <si>
    <t>Enterprise Wage Statistics Table</t>
  </si>
  <si>
    <t>TABLE 1</t>
    <phoneticPr fontId="3" type="noConversion"/>
  </si>
  <si>
    <t>TABLE 2</t>
    <phoneticPr fontId="3" type="noConversion"/>
  </si>
  <si>
    <t>Average Salary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</si>
</sst>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Aptos Narrow"/>
      <family val="2"/>
      <charset val="134"/>
      <scheme val="minor"/>
    </font>
    <font>
      <sz val="10"/>
      <color rgb="FF444746"/>
      <name val="Google Sans Text"/>
      <family val="2"/>
    </font>
    <font>
      <b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2D050"/>
      </font>
      <fill>
        <patternFill>
          <bgColor rgb="FF00B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92D050"/>
      </font>
      <fill>
        <patternFill>
          <bgColor rgb="FF00B050"/>
        </patternFill>
      </fill>
    </dxf>
    <dxf>
      <font>
        <color rgb="FF92D05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Salary Statistics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pattFill prst="dotGrid">
          <a:fgClr>
            <a:schemeClr val="accent1"/>
          </a:fgClr>
          <a:bgClr>
            <a:schemeClr val="bg1"/>
          </a:bgClr>
        </a:patt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'Employee Salary Statistics Tabl'!$M$9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'Employee Salary Statistics Tabl'!$K$10:$L$12</c:f>
              <c:multiLvlStrCache>
                <c:ptCount val="3"/>
                <c:lvl>
                  <c:pt idx="0">
                    <c:v>Assistant Engineer</c:v>
                  </c:pt>
                  <c:pt idx="1">
                    <c:v>Engineer</c:v>
                  </c:pt>
                  <c:pt idx="2">
                    <c:v>Senior Engineer</c:v>
                  </c:pt>
                </c:lvl>
                <c:lvl>
                  <c:pt idx="0">
                    <c:v>&gt;=9000</c:v>
                  </c:pt>
                  <c:pt idx="1">
                    <c:v>&gt;=12000</c:v>
                  </c:pt>
                  <c:pt idx="2">
                    <c:v>&gt;=15000</c:v>
                  </c:pt>
                </c:lvl>
              </c:multiLvlStrCache>
            </c:multiLvlStrRef>
          </c:cat>
          <c:val>
            <c:numRef>
              <c:f>'Employee Salary Statistics Tabl'!$M$10:$M$12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0-4B10-A9DE-2C1C59862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0030544"/>
        <c:axId val="740020464"/>
        <c:axId val="0"/>
      </c:bar3DChart>
      <c:catAx>
        <c:axId val="7400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20464"/>
        <c:crosses val="autoZero"/>
        <c:auto val="1"/>
        <c:lblAlgn val="ctr"/>
        <c:lblOffset val="100"/>
        <c:noMultiLvlLbl val="0"/>
      </c:catAx>
      <c:valAx>
        <c:axId val="7400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</xdr:colOff>
      <xdr:row>13</xdr:row>
      <xdr:rowOff>14287</xdr:rowOff>
    </xdr:from>
    <xdr:to>
      <xdr:col>13</xdr:col>
      <xdr:colOff>666750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0AC66-1B13-AD9F-2716-E0E42A6EF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BB1B-EB44-4BBF-B3A2-C5E58DCA4254}">
  <dimension ref="A1:M25"/>
  <sheetViews>
    <sheetView tabSelected="1" workbookViewId="0">
      <selection activeCell="C51" sqref="C51"/>
    </sheetView>
  </sheetViews>
  <sheetFormatPr defaultRowHeight="13.5"/>
  <cols>
    <col min="1" max="1" width="11.25" style="5" customWidth="1"/>
    <col min="2" max="2" width="19.875" style="5" customWidth="1"/>
    <col min="3" max="3" width="19.375" style="5" customWidth="1"/>
    <col min="4" max="4" width="16.125" style="5" customWidth="1"/>
    <col min="5" max="5" width="13.625" style="5" bestFit="1" customWidth="1"/>
    <col min="6" max="6" width="12.5" style="5" customWidth="1"/>
    <col min="7" max="10" width="9" style="5"/>
    <col min="11" max="11" width="20.25" style="5" customWidth="1"/>
    <col min="12" max="12" width="18" style="5" customWidth="1"/>
    <col min="13" max="13" width="13.75" style="5" customWidth="1"/>
    <col min="14" max="16384" width="9" style="5"/>
  </cols>
  <sheetData>
    <row r="1" spans="1:13" ht="18" thickBot="1">
      <c r="A1" s="12" t="s">
        <v>39</v>
      </c>
      <c r="B1" s="12"/>
      <c r="C1" s="12"/>
      <c r="D1" s="12"/>
      <c r="E1" s="12"/>
      <c r="F1" s="12"/>
      <c r="K1" s="4" t="s">
        <v>40</v>
      </c>
    </row>
    <row r="2" spans="1:13" ht="30.75" thickBo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K2" s="4" t="s">
        <v>24</v>
      </c>
      <c r="L2" s="4" t="s">
        <v>34</v>
      </c>
    </row>
    <row r="3" spans="1:13" ht="15" thickBot="1">
      <c r="A3" s="6" t="s">
        <v>0</v>
      </c>
      <c r="B3" s="6" t="s">
        <v>28</v>
      </c>
      <c r="C3" s="6" t="s">
        <v>29</v>
      </c>
      <c r="D3" s="6">
        <v>8800</v>
      </c>
      <c r="E3" s="6">
        <v>12000</v>
      </c>
      <c r="F3" s="6">
        <f>SUM(D3:E3)</f>
        <v>20800</v>
      </c>
      <c r="K3" s="6" t="s">
        <v>31</v>
      </c>
      <c r="L3" s="11">
        <f>AVERAGEIF($C$3:$C$24,K3,$F$3:$F$24)</f>
        <v>12100</v>
      </c>
    </row>
    <row r="4" spans="1:13" ht="15" thickBot="1">
      <c r="A4" s="6" t="s">
        <v>1</v>
      </c>
      <c r="B4" s="6" t="s">
        <v>28</v>
      </c>
      <c r="C4" s="6" t="s">
        <v>29</v>
      </c>
      <c r="D4" s="6">
        <v>7900</v>
      </c>
      <c r="E4" s="6">
        <v>13200</v>
      </c>
      <c r="F4" s="6">
        <f t="shared" ref="F4:F24" si="0">SUM(D4:E4)</f>
        <v>21100</v>
      </c>
      <c r="K4" s="6" t="s">
        <v>29</v>
      </c>
      <c r="L4" s="11">
        <f t="shared" ref="L4:L5" si="1">AVERAGEIF($C$3:$C$24,K4,$F$3:$F$24)</f>
        <v>16666.666666666668</v>
      </c>
    </row>
    <row r="5" spans="1:13" ht="15" thickBot="1">
      <c r="A5" s="6" t="s">
        <v>2</v>
      </c>
      <c r="B5" s="6" t="s">
        <v>30</v>
      </c>
      <c r="C5" s="6" t="s">
        <v>31</v>
      </c>
      <c r="D5" s="6">
        <v>7100</v>
      </c>
      <c r="E5" s="6">
        <v>7800</v>
      </c>
      <c r="F5" s="6">
        <f t="shared" si="0"/>
        <v>14900</v>
      </c>
      <c r="K5" s="6" t="s">
        <v>33</v>
      </c>
      <c r="L5" s="11">
        <f t="shared" si="1"/>
        <v>19095</v>
      </c>
    </row>
    <row r="6" spans="1:13" ht="15" thickBot="1">
      <c r="A6" s="6" t="s">
        <v>3</v>
      </c>
      <c r="B6" s="6" t="s">
        <v>28</v>
      </c>
      <c r="C6" s="6" t="s">
        <v>29</v>
      </c>
      <c r="D6" s="6">
        <v>9200</v>
      </c>
      <c r="E6" s="6">
        <v>7900</v>
      </c>
      <c r="F6" s="6">
        <f t="shared" si="0"/>
        <v>17100</v>
      </c>
    </row>
    <row r="7" spans="1:13" ht="15" thickBot="1">
      <c r="A7" s="6" t="s">
        <v>4</v>
      </c>
      <c r="B7" s="6" t="s">
        <v>30</v>
      </c>
      <c r="C7" s="6" t="s">
        <v>31</v>
      </c>
      <c r="D7" s="6">
        <v>6500</v>
      </c>
      <c r="E7" s="6">
        <v>6800</v>
      </c>
      <c r="F7" s="6">
        <f t="shared" si="0"/>
        <v>13300</v>
      </c>
    </row>
    <row r="8" spans="1:13" ht="15.75" thickBot="1">
      <c r="A8" s="6" t="s">
        <v>5</v>
      </c>
      <c r="B8" s="6" t="s">
        <v>32</v>
      </c>
      <c r="C8" s="6" t="s">
        <v>31</v>
      </c>
      <c r="D8" s="6">
        <v>5600</v>
      </c>
      <c r="E8" s="6">
        <v>4600</v>
      </c>
      <c r="F8" s="6">
        <f t="shared" si="0"/>
        <v>10200</v>
      </c>
      <c r="K8" s="4" t="s">
        <v>41</v>
      </c>
    </row>
    <row r="9" spans="1:13" ht="15.75" thickBot="1">
      <c r="A9" s="6" t="s">
        <v>6</v>
      </c>
      <c r="B9" s="6" t="s">
        <v>30</v>
      </c>
      <c r="C9" s="6" t="s">
        <v>31</v>
      </c>
      <c r="D9" s="6">
        <v>6700</v>
      </c>
      <c r="E9" s="6">
        <v>7600</v>
      </c>
      <c r="F9" s="6">
        <f t="shared" si="0"/>
        <v>14300</v>
      </c>
      <c r="K9" s="1" t="s">
        <v>27</v>
      </c>
      <c r="L9" s="1" t="s">
        <v>23</v>
      </c>
      <c r="M9" s="1" t="s">
        <v>35</v>
      </c>
    </row>
    <row r="10" spans="1:13" ht="29.25" thickBot="1">
      <c r="A10" s="6" t="s">
        <v>7</v>
      </c>
      <c r="B10" s="6" t="s">
        <v>28</v>
      </c>
      <c r="C10" s="6" t="s">
        <v>33</v>
      </c>
      <c r="D10" s="6">
        <v>9000</v>
      </c>
      <c r="E10" s="6">
        <v>14000</v>
      </c>
      <c r="F10" s="6">
        <f t="shared" si="0"/>
        <v>23000</v>
      </c>
      <c r="K10" s="2" t="s">
        <v>36</v>
      </c>
      <c r="L10" s="2" t="s">
        <v>32</v>
      </c>
      <c r="M10" s="3">
        <f>COUNTIFS($F$3:$F$24,K10,$B$3:$B$24,L10)</f>
        <v>4</v>
      </c>
    </row>
    <row r="11" spans="1:13" ht="15" thickBot="1">
      <c r="A11" s="6" t="s">
        <v>8</v>
      </c>
      <c r="B11" s="6" t="s">
        <v>32</v>
      </c>
      <c r="C11" s="6" t="s">
        <v>31</v>
      </c>
      <c r="D11" s="6">
        <v>4600</v>
      </c>
      <c r="E11" s="6">
        <v>4800</v>
      </c>
      <c r="F11" s="6">
        <f t="shared" si="0"/>
        <v>9400</v>
      </c>
      <c r="K11" s="2" t="s">
        <v>37</v>
      </c>
      <c r="L11" s="2" t="s">
        <v>30</v>
      </c>
      <c r="M11" s="3">
        <f t="shared" ref="M11:M12" si="2">COUNTIFS($F$3:$F$24,K11,$B$3:$B$24,L11)</f>
        <v>8</v>
      </c>
    </row>
    <row r="12" spans="1:13" ht="15" thickBot="1">
      <c r="A12" s="6" t="s">
        <v>9</v>
      </c>
      <c r="B12" s="6" t="s">
        <v>28</v>
      </c>
      <c r="C12" s="6" t="s">
        <v>31</v>
      </c>
      <c r="D12" s="6">
        <v>7800</v>
      </c>
      <c r="E12" s="6">
        <v>7500</v>
      </c>
      <c r="F12" s="6">
        <f t="shared" si="0"/>
        <v>15300</v>
      </c>
      <c r="K12" s="2" t="s">
        <v>38</v>
      </c>
      <c r="L12" s="2" t="s">
        <v>28</v>
      </c>
      <c r="M12" s="3">
        <f t="shared" si="2"/>
        <v>7</v>
      </c>
    </row>
    <row r="13" spans="1:13" ht="15" thickBot="1">
      <c r="A13" s="6" t="s">
        <v>10</v>
      </c>
      <c r="B13" s="6" t="s">
        <v>30</v>
      </c>
      <c r="C13" s="6" t="s">
        <v>31</v>
      </c>
      <c r="D13" s="6">
        <v>6500</v>
      </c>
      <c r="E13" s="6">
        <v>6200</v>
      </c>
      <c r="F13" s="6">
        <f t="shared" si="0"/>
        <v>12700</v>
      </c>
    </row>
    <row r="14" spans="1:13" ht="15" thickBot="1">
      <c r="A14" s="6" t="s">
        <v>11</v>
      </c>
      <c r="B14" s="6" t="s">
        <v>28</v>
      </c>
      <c r="C14" s="6" t="s">
        <v>33</v>
      </c>
      <c r="D14" s="6">
        <v>9500</v>
      </c>
      <c r="E14" s="6">
        <v>12600</v>
      </c>
      <c r="F14" s="6">
        <f t="shared" si="0"/>
        <v>22100</v>
      </c>
    </row>
    <row r="15" spans="1:13" ht="15" thickBot="1">
      <c r="A15" s="6" t="s">
        <v>12</v>
      </c>
      <c r="B15" s="6" t="s">
        <v>30</v>
      </c>
      <c r="C15" s="6" t="s">
        <v>31</v>
      </c>
      <c r="D15" s="6">
        <v>6300</v>
      </c>
      <c r="E15" s="6">
        <v>5200</v>
      </c>
      <c r="F15" s="6">
        <f t="shared" si="0"/>
        <v>11500</v>
      </c>
    </row>
    <row r="16" spans="1:13" ht="15" thickBot="1">
      <c r="A16" s="6" t="s">
        <v>13</v>
      </c>
      <c r="B16" s="6" t="s">
        <v>30</v>
      </c>
      <c r="C16" s="6" t="s">
        <v>29</v>
      </c>
      <c r="D16" s="6">
        <v>7500</v>
      </c>
      <c r="E16" s="6">
        <v>5500</v>
      </c>
      <c r="F16" s="6">
        <f t="shared" si="0"/>
        <v>13000</v>
      </c>
    </row>
    <row r="17" spans="1:6" ht="15" thickBot="1">
      <c r="A17" s="6" t="s">
        <v>14</v>
      </c>
      <c r="B17" s="6" t="s">
        <v>28</v>
      </c>
      <c r="C17" s="6" t="s">
        <v>33</v>
      </c>
      <c r="D17" s="6">
        <v>1100</v>
      </c>
      <c r="E17" s="6">
        <v>11900</v>
      </c>
      <c r="F17" s="6">
        <f t="shared" si="0"/>
        <v>13000</v>
      </c>
    </row>
    <row r="18" spans="1:6" ht="15" thickBot="1">
      <c r="A18" s="6" t="s">
        <v>15</v>
      </c>
      <c r="B18" s="6" t="s">
        <v>28</v>
      </c>
      <c r="C18" s="6" t="s">
        <v>33</v>
      </c>
      <c r="D18" s="6">
        <v>8500</v>
      </c>
      <c r="E18" s="6">
        <v>9780</v>
      </c>
      <c r="F18" s="6">
        <f t="shared" si="0"/>
        <v>18280</v>
      </c>
    </row>
    <row r="19" spans="1:6" ht="15" thickBot="1">
      <c r="A19" s="6" t="s">
        <v>16</v>
      </c>
      <c r="B19" s="6" t="s">
        <v>30</v>
      </c>
      <c r="C19" s="6" t="s">
        <v>31</v>
      </c>
      <c r="D19" s="6">
        <v>6900</v>
      </c>
      <c r="E19" s="6">
        <v>4900</v>
      </c>
      <c r="F19" s="6">
        <f t="shared" si="0"/>
        <v>11800</v>
      </c>
    </row>
    <row r="20" spans="1:6" ht="15" thickBot="1">
      <c r="A20" s="6" t="s">
        <v>17</v>
      </c>
      <c r="B20" s="6" t="s">
        <v>30</v>
      </c>
      <c r="C20" s="6" t="s">
        <v>31</v>
      </c>
      <c r="D20" s="6">
        <v>7200</v>
      </c>
      <c r="E20" s="6">
        <v>5300</v>
      </c>
      <c r="F20" s="6">
        <f t="shared" si="0"/>
        <v>12500</v>
      </c>
    </row>
    <row r="21" spans="1:6" ht="15" thickBot="1">
      <c r="A21" s="6" t="s">
        <v>18</v>
      </c>
      <c r="B21" s="6" t="s">
        <v>32</v>
      </c>
      <c r="C21" s="6" t="s">
        <v>31</v>
      </c>
      <c r="D21" s="6">
        <v>4800</v>
      </c>
      <c r="E21" s="6">
        <v>5100</v>
      </c>
      <c r="F21" s="6">
        <f t="shared" si="0"/>
        <v>9900</v>
      </c>
    </row>
    <row r="22" spans="1:6" ht="15" thickBot="1">
      <c r="A22" s="6" t="s">
        <v>19</v>
      </c>
      <c r="B22" s="6" t="s">
        <v>30</v>
      </c>
      <c r="C22" s="6" t="s">
        <v>29</v>
      </c>
      <c r="D22" s="6">
        <v>8200</v>
      </c>
      <c r="E22" s="6">
        <v>5800</v>
      </c>
      <c r="F22" s="6">
        <f t="shared" si="0"/>
        <v>14000</v>
      </c>
    </row>
    <row r="23" spans="1:6" ht="15" thickBot="1">
      <c r="A23" s="6" t="s">
        <v>20</v>
      </c>
      <c r="B23" s="6" t="s">
        <v>32</v>
      </c>
      <c r="C23" s="6" t="s">
        <v>31</v>
      </c>
      <c r="D23" s="6">
        <v>4500</v>
      </c>
      <c r="E23" s="7">
        <v>4900</v>
      </c>
      <c r="F23" s="6">
        <f t="shared" si="0"/>
        <v>9400</v>
      </c>
    </row>
    <row r="24" spans="1:6" ht="15" thickBot="1">
      <c r="A24" s="6" t="s">
        <v>21</v>
      </c>
      <c r="B24" s="6" t="s">
        <v>30</v>
      </c>
      <c r="C24" s="6" t="s">
        <v>29</v>
      </c>
      <c r="D24" s="9">
        <v>7500</v>
      </c>
      <c r="E24" s="9">
        <v>6500</v>
      </c>
      <c r="F24" s="6">
        <f t="shared" si="0"/>
        <v>14000</v>
      </c>
    </row>
    <row r="25" spans="1:6" ht="30">
      <c r="E25" s="8" t="s">
        <v>42</v>
      </c>
      <c r="F25" s="10">
        <f>AVERAGE(F3:F24)</f>
        <v>14617.272727272728</v>
      </c>
    </row>
  </sheetData>
  <mergeCells count="1">
    <mergeCell ref="A1:F1"/>
  </mergeCells>
  <phoneticPr fontId="3" type="noConversion"/>
  <conditionalFormatting sqref="F3:F24">
    <cfRule type="top10" dxfId="0" priority="3" percent="1" rank="15"/>
    <cfRule type="top10" dxfId="1" priority="2" percent="1" rank="15"/>
    <cfRule type="aboveAverage" dxfId="2" priority="1" aboveAverage="0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Salary Statistics Tabl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1582553041@qq.com</dc:creator>
  <cp:lastModifiedBy>Geo Wong</cp:lastModifiedBy>
  <dcterms:created xsi:type="dcterms:W3CDTF">2025-12-30T02:14:04Z</dcterms:created>
  <dcterms:modified xsi:type="dcterms:W3CDTF">2025-12-30T05:24:59Z</dcterms:modified>
</cp:coreProperties>
</file>